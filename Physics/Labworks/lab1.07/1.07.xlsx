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0" documentId="13_ncr:1_{9A22E1A0-B65B-424F-B9BE-2AA32B408B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" i="1" l="1"/>
  <c r="D13" i="1"/>
  <c r="P6" i="1" l="1"/>
  <c r="N6" i="1"/>
  <c r="N7" i="1" s="1"/>
  <c r="N8" i="1" s="1"/>
  <c r="N10" i="1" s="1"/>
  <c r="P7" i="1" l="1"/>
  <c r="I4" i="1"/>
  <c r="I5" i="1"/>
  <c r="I6" i="1"/>
  <c r="I7" i="1"/>
  <c r="I8" i="1"/>
  <c r="I3" i="1"/>
  <c r="P8" i="1" l="1"/>
  <c r="P10" i="1" s="1"/>
  <c r="O15" i="1" s="1"/>
  <c r="M6" i="1"/>
  <c r="I12" i="1"/>
  <c r="G10" i="1" s="1"/>
  <c r="I13" i="1"/>
  <c r="H16" i="1" s="1"/>
  <c r="M7" i="1" l="1"/>
  <c r="M8" i="1" s="1"/>
  <c r="M10" i="1" s="1"/>
  <c r="G11" i="1"/>
  <c r="O16" i="1" l="1"/>
  <c r="D16" i="1"/>
  <c r="D1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Заполнить самостоятельно</t>
        </r>
      </text>
    </comment>
    <comment ref="C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Заполнить самостоятельно</t>
        </r>
      </text>
    </comment>
    <comment ref="D3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Заполнить самостоятельно</t>
        </r>
      </text>
    </comment>
    <comment ref="F3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Заполнить самостоятельно</t>
        </r>
      </text>
    </comment>
    <comment ref="H3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Заполняется автоматически</t>
        </r>
      </text>
    </comment>
    <comment ref="L5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Для m погрешность задана только приборной погрешностью. Внесите её сюда, если у вас она отличается</t>
        </r>
      </text>
    </comment>
    <comment ref="O5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Для h погрешность задана только приборной погрешностью. Внесите её сюда, если у вас она отличается</t>
        </r>
      </text>
    </comment>
    <comment ref="F6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Заполнить самостоятельно</t>
        </r>
      </text>
    </comment>
    <comment ref="H6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Заполняется автоматически</t>
        </r>
      </text>
    </comment>
    <comment ref="K6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Заполняется автоматически</t>
        </r>
      </text>
    </comment>
    <comment ref="K7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Заполняется автоматически</t>
        </r>
      </text>
    </comment>
    <comment ref="K8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Заполняется автоматически</t>
        </r>
      </text>
    </comment>
    <comment ref="K9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Внести самостоятельно</t>
        </r>
      </text>
    </comment>
    <comment ref="M9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Внести приборную погрешность при измерении величины</t>
        </r>
      </text>
    </comment>
    <comment ref="N9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Внести приборную погрешность при измерении величины</t>
        </r>
      </text>
    </comment>
    <comment ref="P9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Внести приборную погрешность при измерении величины</t>
        </r>
      </text>
    </comment>
    <comment ref="C10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Заполнить самостоятельно</t>
        </r>
      </text>
    </comment>
    <comment ref="F10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Заполняется автоматически</t>
        </r>
      </text>
    </comment>
    <comment ref="K10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Заполняется автоматически</t>
        </r>
      </text>
    </comment>
    <comment ref="F11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Заполняется автоматически</t>
        </r>
      </text>
    </comment>
    <comment ref="C12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Заполняется автоматически</t>
        </r>
      </text>
    </comment>
    <comment ref="H12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Заполняется автоматически</t>
        </r>
      </text>
    </comment>
    <comment ref="C13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Заполняется автоматически</t>
        </r>
      </text>
    </comment>
    <comment ref="H13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Заполняется автоматически</t>
        </r>
      </text>
    </comment>
    <comment ref="C16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Заполняется автоматически</t>
        </r>
      </text>
    </comment>
    <comment ref="G16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Заполняется автоматически</t>
        </r>
      </text>
    </comment>
    <comment ref="C17" authorId="0" shapeId="0" xr:uid="{00000000-0006-0000-0000-00001B000000}">
      <text>
        <r>
          <rPr>
            <sz val="11"/>
            <color theme="1"/>
            <rFont val="Calibri"/>
            <family val="2"/>
            <scheme val="minor"/>
          </rPr>
  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Заполняется автоматически</t>
        </r>
      </text>
    </comment>
  </commentList>
</comments>
</file>

<file path=xl/sharedStrings.xml><?xml version="1.0" encoding="utf-8"?>
<sst xmlns="http://schemas.openxmlformats.org/spreadsheetml/2006/main" count="42" uniqueCount="39">
  <si>
    <t>h</t>
  </si>
  <si>
    <t>h1</t>
  </si>
  <si>
    <t>t</t>
  </si>
  <si>
    <t>d1</t>
  </si>
  <si>
    <t>d2</t>
  </si>
  <si>
    <t>d3</t>
  </si>
  <si>
    <t>D1</t>
  </si>
  <si>
    <t>D2</t>
  </si>
  <si>
    <t>D3</t>
  </si>
  <si>
    <t>m</t>
  </si>
  <si>
    <t>r1</t>
  </si>
  <si>
    <t>r2</t>
  </si>
  <si>
    <t>r3</t>
  </si>
  <si>
    <t>R1</t>
  </si>
  <si>
    <t>R2</t>
  </si>
  <si>
    <t>R3</t>
  </si>
  <si>
    <t>r ср</t>
  </si>
  <si>
    <t>R ср</t>
  </si>
  <si>
    <t>r</t>
  </si>
  <si>
    <t>№ опыта</t>
  </si>
  <si>
    <t>h1 среднее</t>
  </si>
  <si>
    <t>t среднее</t>
  </si>
  <si>
    <t>m, масса маятника</t>
  </si>
  <si>
    <r>
      <rPr>
        <sz val="11"/>
        <color theme="1"/>
        <rFont val="Calibri"/>
        <family val="2"/>
        <charset val="204"/>
      </rPr>
      <t>∆</t>
    </r>
    <r>
      <rPr>
        <sz val="11"/>
        <color theme="1"/>
        <rFont val="Calibri"/>
        <family val="2"/>
        <scheme val="minor"/>
      </rPr>
      <t>А/А</t>
    </r>
  </si>
  <si>
    <t>∆I/I</t>
  </si>
  <si>
    <t>Занесите измеренные значения d и D</t>
  </si>
  <si>
    <t>тогда R и r заполнятся автоматически</t>
  </si>
  <si>
    <t>приборная</t>
  </si>
  <si>
    <t>случайная</t>
  </si>
  <si>
    <t>среднее значение величины</t>
  </si>
  <si>
    <t>Таблица для расчета погрешностей</t>
  </si>
  <si>
    <t>S (средне-квадратичное отклонение)</t>
  </si>
  <si>
    <t>коэффиценты стьюдента</t>
  </si>
  <si>
    <t>абсолютная погрешность величины</t>
  </si>
  <si>
    <t>I по формуле (6) методички</t>
  </si>
  <si>
    <t>I по формуле (11) методички</t>
  </si>
  <si>
    <t>погрешность I вычисленного по формуле (6) методички</t>
  </si>
  <si>
    <t>погрешность I вычисленного по формуле (11) методички</t>
  </si>
  <si>
    <t>I теоретическое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</si>
</sst>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0"/>
    <numFmt numFmtId="165" formatCode="0.0000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164" fontId="0" fillId="0" borderId="0" xfId="0" applyNumberFormat="1"/>
    <xf numFmtId="164" fontId="0" fillId="0" borderId="1" xfId="0" applyNumberFormat="1" applyBorder="1"/>
    <xf numFmtId="164" fontId="0" fillId="0" borderId="5" xfId="0" applyNumberFormat="1" applyBorder="1"/>
    <xf numFmtId="164" fontId="0" fillId="0" borderId="4" xfId="0" applyNumberFormat="1" applyBorder="1"/>
    <xf numFmtId="164" fontId="0" fillId="2" borderId="1" xfId="0" applyNumberFormat="1" applyFill="1" applyBorder="1"/>
    <xf numFmtId="0" fontId="0" fillId="2" borderId="1" xfId="0" applyFill="1" applyBorder="1" applyAlignment="1">
      <alignment wrapText="1"/>
    </xf>
    <xf numFmtId="165" fontId="0" fillId="2" borderId="1" xfId="0" applyNumberFormat="1" applyFill="1" applyBorder="1"/>
    <xf numFmtId="164" fontId="0" fillId="2" borderId="1" xfId="0" applyNumberFormat="1" applyFill="1" applyBorder="1" applyAlignment="1">
      <alignment vertical="center"/>
    </xf>
    <xf numFmtId="164" fontId="0" fillId="0" borderId="1" xfId="0" applyNumberFormat="1" applyBorder="1" applyAlignment="1">
      <alignment horizontal="left" vertical="center"/>
    </xf>
    <xf numFmtId="164" fontId="1" fillId="2" borderId="1" xfId="0" applyNumberFormat="1" applyFont="1" applyFill="1" applyBorder="1" applyAlignment="1">
      <alignment horizontal="left" vertical="center"/>
    </xf>
    <xf numFmtId="164" fontId="0" fillId="2" borderId="1" xfId="0" applyNumberFormat="1" applyFill="1" applyBorder="1" applyAlignment="1">
      <alignment horizontal="left" vertical="center"/>
    </xf>
    <xf numFmtId="0" fontId="0" fillId="3" borderId="1" xfId="0" applyFill="1" applyBorder="1"/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17"/>
  <sheetViews>
    <sheetView tabSelected="1" zoomScale="85" zoomScaleNormal="85" workbookViewId="0">
      <selection activeCell="K9" sqref="K9"/>
    </sheetView>
  </sheetViews>
  <sheetFormatPr defaultRowHeight="15" x14ac:dyDescent="0.25"/>
  <cols>
    <col min="1" max="1" width="10.140625" customWidth="1"/>
    <col min="3" max="3" width="19.28515625" customWidth="1"/>
    <col min="4" max="4" width="15.42578125" customWidth="1"/>
    <col min="6" max="6" width="27.140625" customWidth="1"/>
    <col min="7" max="7" width="16.140625" customWidth="1"/>
    <col min="8" max="8" width="18.5703125" customWidth="1"/>
    <col min="9" max="9" width="16.85546875" customWidth="1"/>
    <col min="11" max="11" width="33.140625" customWidth="1"/>
    <col min="12" max="12" width="15.42578125" customWidth="1"/>
    <col min="13" max="13" width="15.7109375" customWidth="1"/>
    <col min="14" max="14" width="15.42578125" customWidth="1"/>
    <col min="15" max="15" width="15" customWidth="1"/>
    <col min="16" max="16" width="15.7109375" customWidth="1"/>
  </cols>
  <sheetData>
    <row r="2" spans="1:16" x14ac:dyDescent="0.25">
      <c r="F2" s="17" t="s">
        <v>25</v>
      </c>
      <c r="G2" s="17"/>
      <c r="H2" s="17" t="s">
        <v>26</v>
      </c>
      <c r="I2" s="17"/>
    </row>
    <row r="3" spans="1:16" x14ac:dyDescent="0.25">
      <c r="A3" s="1" t="s">
        <v>19</v>
      </c>
      <c r="B3" s="13" t="s">
        <v>0</v>
      </c>
      <c r="C3" s="13" t="s">
        <v>1</v>
      </c>
      <c r="D3" s="13" t="s">
        <v>2</v>
      </c>
      <c r="E3" s="2"/>
      <c r="F3" s="3" t="s">
        <v>3</v>
      </c>
      <c r="G3" s="3"/>
      <c r="H3" s="3" t="s">
        <v>10</v>
      </c>
      <c r="I3" s="3">
        <f>G3/2</f>
        <v>0</v>
      </c>
      <c r="J3" s="2"/>
      <c r="K3" s="18" t="s">
        <v>30</v>
      </c>
      <c r="L3" s="18"/>
      <c r="M3" s="18"/>
      <c r="N3" s="18"/>
      <c r="O3" s="18"/>
      <c r="P3" s="18"/>
    </row>
    <row r="4" spans="1:16" x14ac:dyDescent="0.25">
      <c r="A4" s="1">
        <v>1</v>
      </c>
      <c r="B4" s="14">
        <v>36</v>
      </c>
      <c r="C4" s="13">
        <v>32.299999999999997</v>
      </c>
      <c r="D4" s="13">
        <v>1.7310000000000001</v>
      </c>
      <c r="E4" s="2"/>
      <c r="F4" s="3" t="s">
        <v>4</v>
      </c>
      <c r="G4" s="3"/>
      <c r="H4" s="3" t="s">
        <v>11</v>
      </c>
      <c r="I4" s="3">
        <f t="shared" ref="I4:I8" si="0">G4/2</f>
        <v>0</v>
      </c>
      <c r="J4" s="2"/>
      <c r="K4" s="2"/>
      <c r="L4" s="5" t="s">
        <v>9</v>
      </c>
      <c r="M4" s="5" t="s">
        <v>18</v>
      </c>
      <c r="N4" s="5" t="s">
        <v>2</v>
      </c>
      <c r="O4" s="5" t="s">
        <v>0</v>
      </c>
      <c r="P4" s="5" t="s">
        <v>1</v>
      </c>
    </row>
    <row r="5" spans="1:16" x14ac:dyDescent="0.25">
      <c r="A5" s="1">
        <v>2</v>
      </c>
      <c r="B5" s="15"/>
      <c r="C5" s="13">
        <v>31.5</v>
      </c>
      <c r="D5" s="13">
        <v>1.746</v>
      </c>
      <c r="E5" s="2"/>
      <c r="F5" s="3" t="s">
        <v>5</v>
      </c>
      <c r="G5" s="3"/>
      <c r="H5" s="3" t="s">
        <v>12</v>
      </c>
      <c r="I5" s="3">
        <f t="shared" si="0"/>
        <v>0</v>
      </c>
      <c r="J5" s="2"/>
      <c r="K5" s="2"/>
      <c r="L5" s="3">
        <v>5.0000000000000002E-5</v>
      </c>
      <c r="M5" s="3"/>
      <c r="N5" s="3"/>
      <c r="O5" s="3">
        <v>1E-3</v>
      </c>
      <c r="P5" s="3"/>
    </row>
    <row r="6" spans="1:16" x14ac:dyDescent="0.25">
      <c r="A6" s="1">
        <v>3</v>
      </c>
      <c r="B6" s="15"/>
      <c r="C6" s="13">
        <v>31.8</v>
      </c>
      <c r="D6" s="13">
        <v>1.6419999999999999</v>
      </c>
      <c r="E6" s="2"/>
      <c r="F6" s="3" t="s">
        <v>6</v>
      </c>
      <c r="G6" s="3"/>
      <c r="H6" s="3" t="s">
        <v>13</v>
      </c>
      <c r="I6" s="3">
        <f t="shared" si="0"/>
        <v>0</v>
      </c>
      <c r="J6" s="2"/>
      <c r="K6" s="4" t="s">
        <v>29</v>
      </c>
      <c r="L6" s="3"/>
      <c r="M6" s="3">
        <f>ROUND(AVERAGE(I3:I5),5)</f>
        <v>0</v>
      </c>
      <c r="N6" s="3">
        <f>AVERAGE(D4:D8)</f>
        <v>1.6835999999999998</v>
      </c>
      <c r="O6" s="3"/>
      <c r="P6" s="3">
        <f>AVERAGE(C4:C8)</f>
        <v>32.119999999999997</v>
      </c>
    </row>
    <row r="7" spans="1:16" x14ac:dyDescent="0.25">
      <c r="A7" s="1">
        <v>4</v>
      </c>
      <c r="B7" s="15"/>
      <c r="C7" s="13">
        <v>32.1</v>
      </c>
      <c r="D7" s="13">
        <v>1.6319999999999999</v>
      </c>
      <c r="E7" s="2"/>
      <c r="F7" s="3" t="s">
        <v>7</v>
      </c>
      <c r="G7" s="3"/>
      <c r="H7" s="3" t="s">
        <v>14</v>
      </c>
      <c r="I7" s="3">
        <f t="shared" si="0"/>
        <v>0</v>
      </c>
      <c r="J7" s="2"/>
      <c r="K7" s="4" t="s">
        <v>31</v>
      </c>
      <c r="L7" s="3"/>
      <c r="M7" s="3">
        <f>SQRT(SUM((I3-M6)^2,(I4-M6)^2,(I5-M6)^2)/6)</f>
        <v>0</v>
      </c>
      <c r="N7" s="3">
        <f>SQRT(SUM((D4-N6)^2,(D5-N6)^2,(D6-N6)^2,(D7-N6)^2,(D8-N6)^2)/20)</f>
        <v>2.3247795594421448E-2</v>
      </c>
      <c r="O7" s="3"/>
      <c r="P7" s="3">
        <f>SQRT(SUM((C4-P6)^2,(C5-P6)^2,(C6-P6)^2,(C7-P6)^2,(C8-P6)^2)/20)</f>
        <v>0.23748684174075796</v>
      </c>
    </row>
    <row r="8" spans="1:16" x14ac:dyDescent="0.25">
      <c r="A8" s="1">
        <v>5</v>
      </c>
      <c r="B8" s="16"/>
      <c r="C8" s="13">
        <v>32.9</v>
      </c>
      <c r="D8" s="13">
        <v>1.667</v>
      </c>
      <c r="E8" s="2"/>
      <c r="F8" s="3" t="s">
        <v>8</v>
      </c>
      <c r="G8" s="3"/>
      <c r="H8" s="3" t="s">
        <v>15</v>
      </c>
      <c r="I8" s="3">
        <f t="shared" si="0"/>
        <v>0</v>
      </c>
      <c r="J8" s="2"/>
      <c r="K8" s="4" t="s">
        <v>28</v>
      </c>
      <c r="L8" s="3"/>
      <c r="M8" s="3">
        <f>L16*M7</f>
        <v>0</v>
      </c>
      <c r="N8" s="3">
        <f>L17*N7</f>
        <v>6.4628871752491615E-2</v>
      </c>
      <c r="O8" s="3"/>
      <c r="P8" s="3">
        <f>L17*P7</f>
        <v>0.66021342003930705</v>
      </c>
    </row>
    <row r="9" spans="1:16" x14ac:dyDescent="0.25">
      <c r="E9" s="2"/>
      <c r="F9" s="2"/>
      <c r="G9" s="2"/>
      <c r="H9" s="2"/>
      <c r="I9" s="2"/>
      <c r="J9" s="2"/>
      <c r="K9" s="4" t="s">
        <v>27</v>
      </c>
      <c r="L9" s="3"/>
      <c r="M9" s="3"/>
      <c r="N9" s="3"/>
      <c r="O9" s="3"/>
      <c r="P9" s="3"/>
    </row>
    <row r="10" spans="1:16" x14ac:dyDescent="0.25">
      <c r="C10" s="1" t="s">
        <v>22</v>
      </c>
      <c r="D10" s="1"/>
      <c r="E10" s="2"/>
      <c r="F10" s="6" t="s">
        <v>34</v>
      </c>
      <c r="G10" s="6">
        <f>D10*I12^2*((9.82*D13^2/(2*B4))-1)</f>
        <v>0</v>
      </c>
      <c r="H10" s="2"/>
      <c r="I10" s="2"/>
      <c r="J10" s="2"/>
      <c r="K10" s="4" t="s">
        <v>33</v>
      </c>
      <c r="L10" s="3"/>
      <c r="M10" s="3">
        <f>SQRT(M8^2+(2*M9/3)^2)</f>
        <v>0</v>
      </c>
      <c r="N10" s="3">
        <f>SQRT(N8^2+(2*N9/3)^2)</f>
        <v>6.4628871752491615E-2</v>
      </c>
      <c r="O10" s="3"/>
      <c r="P10" s="3">
        <f>SQRT(P8^2+(2*P9/3)^2)</f>
        <v>0.66021342003930705</v>
      </c>
    </row>
    <row r="11" spans="1:16" x14ac:dyDescent="0.25">
      <c r="E11" s="2"/>
      <c r="F11" s="6" t="s">
        <v>35</v>
      </c>
      <c r="G11" s="6">
        <f>D10*I12^2*(((9.82*D13^2*D12)/(B4*(B4+D12)))-1)</f>
        <v>0</v>
      </c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25">
      <c r="C12" s="1" t="s">
        <v>20</v>
      </c>
      <c r="D12" s="1">
        <f>ROUND(AVERAGE(C4:C8),3)</f>
        <v>32.119999999999997</v>
      </c>
      <c r="E12" s="2"/>
      <c r="F12" s="2"/>
      <c r="G12" s="2"/>
      <c r="H12" s="3" t="s">
        <v>16</v>
      </c>
      <c r="I12" s="3">
        <f>AVERAGE(I3:I5)</f>
        <v>0</v>
      </c>
      <c r="J12" s="2"/>
      <c r="K12" s="2"/>
      <c r="L12" s="2"/>
      <c r="M12" s="2"/>
      <c r="N12" s="2"/>
      <c r="O12" s="2"/>
      <c r="P12" s="2"/>
    </row>
    <row r="13" spans="1:16" x14ac:dyDescent="0.25">
      <c r="C13" s="1" t="s">
        <v>21</v>
      </c>
      <c r="D13" s="1">
        <f>ROUND(AVERAGE(D4:D8),3)</f>
        <v>1.6839999999999999</v>
      </c>
      <c r="E13" s="2"/>
      <c r="F13" s="2"/>
      <c r="G13" s="2"/>
      <c r="H13" s="3" t="s">
        <v>17</v>
      </c>
      <c r="I13" s="3">
        <f>AVERAGE(I6:I8)</f>
        <v>0</v>
      </c>
      <c r="J13" s="2"/>
      <c r="K13" s="2"/>
      <c r="L13" s="2"/>
      <c r="M13" s="2"/>
      <c r="N13" s="2"/>
      <c r="O13" s="2"/>
      <c r="P13" s="2"/>
    </row>
    <row r="14" spans="1:16" x14ac:dyDescent="0.25"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25">
      <c r="E15" s="2"/>
      <c r="F15" s="2"/>
      <c r="G15" s="2"/>
      <c r="H15" s="2"/>
      <c r="I15" s="2"/>
      <c r="J15" s="2"/>
      <c r="K15" s="3" t="s">
        <v>32</v>
      </c>
      <c r="L15" s="3"/>
      <c r="M15" s="2"/>
      <c r="N15" s="11" t="s">
        <v>23</v>
      </c>
      <c r="O15" s="12">
        <f>SQRT((2*N10/N6)^2+(O5/B4)^2+(P10/P6)^2)</f>
        <v>7.947851024347187E-2</v>
      </c>
      <c r="P15" s="2"/>
    </row>
    <row r="16" spans="1:16" ht="59.45" customHeight="1" x14ac:dyDescent="0.25">
      <c r="C16" s="7" t="s">
        <v>36</v>
      </c>
      <c r="D16" s="8" t="e">
        <f>G10*SQRT((L5/D10)^2+(2*M10/I12)^2+(2*N10/N6)^2+(O5/B4)^2+(P10/P6)^2)</f>
        <v>#DIV/0!</v>
      </c>
      <c r="E16" s="2"/>
      <c r="F16" s="2"/>
      <c r="G16" s="9" t="s">
        <v>38</v>
      </c>
      <c r="H16" s="9">
        <f>D10*I13^2/2</f>
        <v>0</v>
      </c>
      <c r="I16" s="2"/>
      <c r="J16" s="2"/>
      <c r="K16" s="10">
        <v>3</v>
      </c>
      <c r="L16" s="10">
        <v>4.3</v>
      </c>
      <c r="M16" s="2"/>
      <c r="N16" s="12" t="s">
        <v>24</v>
      </c>
      <c r="O16" s="12" t="e">
        <f>SQRT((L5/D10)^2+(2*M10/M6)^2+(O15)^2)</f>
        <v>#DIV/0!</v>
      </c>
      <c r="P16" s="2"/>
    </row>
    <row r="17" spans="3:16" ht="54.6" customHeight="1" x14ac:dyDescent="0.25">
      <c r="C17" s="7" t="s">
        <v>37</v>
      </c>
      <c r="D17" s="8" t="e">
        <f>G11*SQRT((L5/D10)^2+(2*M10/I12)^2+(2*N10/N6)^2+(O5/B4)^2+(P10/P6)^2)</f>
        <v>#DIV/0!</v>
      </c>
      <c r="E17" s="2"/>
      <c r="F17" s="2"/>
      <c r="G17" s="2"/>
      <c r="H17" s="2"/>
      <c r="I17" s="2"/>
      <c r="J17" s="2"/>
      <c r="K17" s="10">
        <v>5</v>
      </c>
      <c r="L17" s="10">
        <v>2.78</v>
      </c>
      <c r="M17" s="2"/>
      <c r="N17" s="2"/>
      <c r="O17" s="2"/>
      <c r="P17" s="2"/>
    </row>
  </sheetData>
  <mergeCells count="4">
    <mergeCell ref="B4:B8"/>
    <mergeCell ref="F2:G2"/>
    <mergeCell ref="H2:I2"/>
    <mergeCell ref="K3:P3"/>
  </mergeCells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2025-12-09T20:46:50Z</dcterms:modified>
</cp:coreProperties>
</file>