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из данных" sheetId="1" state="visible" r:id="rId1"/>
    <sheet xmlns:r="http://schemas.openxmlformats.org/officeDocument/2006/relationships" name="Исправленные данные" sheetId="2" state="visible" r:id="rId2"/>
    <sheet xmlns:r="http://schemas.openxmlformats.org/officeDocument/2006/relationships" name="Сравнение с эталоно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;-0.0;0.0"/>
    <numFmt numFmtId="165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C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20" customWidth="1" min="5" max="5"/>
    <col width="28" customWidth="1" min="6" max="6"/>
  </cols>
  <sheetData>
    <row r="1" ht="30" customHeight="1">
      <c r="A1" s="1" t="inlineStr">
        <is>
          <t>Лабораторная работа 3.11 — Анализ и исправление данных</t>
        </is>
      </c>
    </row>
    <row r="3">
      <c r="A3" s="2" t="inlineStr">
        <is>
          <t>Параметры контура</t>
        </is>
      </c>
      <c r="B3" s="3" t="n"/>
      <c r="C3" s="3" t="n"/>
      <c r="D3" s="3" t="n"/>
      <c r="E3" s="3" t="n"/>
      <c r="F3" s="3" t="n"/>
    </row>
    <row r="4">
      <c r="A4" s="4" t="n">
        <v>1</v>
      </c>
      <c r="B4" s="5" t="inlineStr">
        <is>
          <t>L (из регрессии)</t>
        </is>
      </c>
      <c r="C4" s="6" t="inlineStr">
        <is>
          <t>≈ 204 мГн</t>
        </is>
      </c>
      <c r="D4" s="5" t="inlineStr">
        <is>
          <t>Реальное значение, записанное в xlsx как «l=100» (ед. не указаны)</t>
        </is>
      </c>
      <c r="E4" s="3" t="n"/>
      <c r="F4" s="3" t="n"/>
    </row>
    <row r="5">
      <c r="A5" s="4" t="n">
        <v>2</v>
      </c>
      <c r="B5" s="5" t="inlineStr">
        <is>
          <t>C (Таблица 1)</t>
        </is>
      </c>
      <c r="C5" s="6" t="inlineStr">
        <is>
          <t>0,1 мкФ = 100 нФ</t>
        </is>
      </c>
      <c r="D5" s="5" t="inlineStr">
        <is>
          <t>Ёмкость при снятии резонансной кривой</t>
        </is>
      </c>
      <c r="E5" s="3" t="n"/>
      <c r="F5" s="3" t="n"/>
    </row>
    <row r="6">
      <c r="A6" s="4" t="n">
        <v>3</v>
      </c>
      <c r="B6" s="5" t="inlineStr">
        <is>
          <t>f_расч (Таблица 1)</t>
        </is>
      </c>
      <c r="C6" s="6" t="inlineStr">
        <is>
          <t>≈ 1,11 кГц</t>
        </is>
      </c>
      <c r="D6" s="5" t="inlineStr">
        <is>
          <t>Теоретический резонанс для C=0.1 мкФ, L=204 мГн</t>
        </is>
      </c>
      <c r="E6" s="3" t="n"/>
      <c r="F6" s="3" t="n"/>
    </row>
    <row r="7">
      <c r="A7" s="4" t="n">
        <v>4</v>
      </c>
      <c r="B7" s="5" t="inlineStr">
        <is>
          <t>Диапазон наших измерений</t>
        </is>
      </c>
      <c r="C7" s="6" t="inlineStr">
        <is>
          <t>0,59 – 1,59 кГц</t>
        </is>
      </c>
      <c r="D7" s="5" t="inlineStr">
        <is>
          <t>Шаг 100 Гц — охватывает резонанс, но пик не виден</t>
        </is>
      </c>
      <c r="E7" s="3" t="n"/>
      <c r="F7" s="3" t="n"/>
    </row>
    <row r="9">
      <c r="A9" s="2" t="inlineStr">
        <is>
          <t>Таблица 1 — Резонансная кривая (C = 0,1 мкФ)</t>
        </is>
      </c>
      <c r="B9" s="3" t="n"/>
      <c r="C9" s="3" t="n"/>
      <c r="D9" s="3" t="n"/>
      <c r="E9" s="3" t="n"/>
      <c r="F9" s="3" t="n"/>
    </row>
    <row r="10">
      <c r="A10" s="7" t="inlineStr">
        <is>
          <t>№</t>
        </is>
      </c>
      <c r="B10" s="7" t="inlineStr">
        <is>
          <t>f, кГц
(наши)</t>
        </is>
      </c>
      <c r="C10" s="7" t="inlineStr">
        <is>
          <t>Uc, В
(наши)</t>
        </is>
      </c>
      <c r="D10" s="7" t="inlineStr">
        <is>
          <t>Статус</t>
        </is>
      </c>
      <c r="E10" s="7" t="inlineStr">
        <is>
          <t>Комментарий</t>
        </is>
      </c>
      <c r="F10" s="3" t="n"/>
    </row>
    <row r="11">
      <c r="A11" s="4" t="n">
        <v>1</v>
      </c>
      <c r="B11" s="8" t="n">
        <v>1.59</v>
      </c>
      <c r="C11" s="8" t="n">
        <v>3.84</v>
      </c>
      <c r="D11" s="4" t="inlineStr">
        <is>
          <t>—</t>
        </is>
      </c>
      <c r="E11" s="5" t="inlineStr"/>
      <c r="F11" s="3" t="n"/>
    </row>
    <row r="12">
      <c r="A12" s="4" t="n">
        <v>2</v>
      </c>
      <c r="B12" s="8" t="n">
        <v>1.49</v>
      </c>
      <c r="C12" s="8" t="n">
        <v>3.79</v>
      </c>
      <c r="D12" s="4" t="inlineStr">
        <is>
          <t>—</t>
        </is>
      </c>
      <c r="E12" s="5" t="inlineStr"/>
      <c r="F12" s="3" t="n"/>
    </row>
    <row r="13">
      <c r="A13" s="4" t="n">
        <v>3</v>
      </c>
      <c r="B13" s="8" t="n">
        <v>1.39</v>
      </c>
      <c r="C13" s="8" t="n">
        <v>3.68</v>
      </c>
      <c r="D13" s="4" t="inlineStr">
        <is>
          <t>—</t>
        </is>
      </c>
      <c r="E13" s="5" t="inlineStr"/>
      <c r="F13" s="3" t="n"/>
    </row>
    <row r="14">
      <c r="A14" s="4" t="n">
        <v>4</v>
      </c>
      <c r="B14" s="8" t="n">
        <v>1.29</v>
      </c>
      <c r="C14" s="8" t="n">
        <v>3.44</v>
      </c>
      <c r="D14" s="4" t="inlineStr">
        <is>
          <t>—</t>
        </is>
      </c>
      <c r="E14" s="5" t="inlineStr">
        <is>
          <t>Минимум в середине диапазона</t>
        </is>
      </c>
      <c r="F14" s="3" t="n"/>
    </row>
    <row r="15">
      <c r="A15" s="4" t="n">
        <v>5</v>
      </c>
      <c r="B15" s="8" t="n">
        <v>1.19</v>
      </c>
      <c r="C15" s="8" t="n">
        <v>3.36</v>
      </c>
      <c r="D15" s="9" t="inlineStr">
        <is>
          <t>⚠ Локальный мин</t>
        </is>
      </c>
      <c r="E15" s="5" t="inlineStr"/>
      <c r="F15" s="3" t="n"/>
    </row>
    <row r="16">
      <c r="A16" s="4" t="n">
        <v>6</v>
      </c>
      <c r="B16" s="8" t="n">
        <v>1.09</v>
      </c>
      <c r="C16" s="8" t="n">
        <v>3.76</v>
      </c>
      <c r="D16" s="4" t="inlineStr">
        <is>
          <t>—</t>
        </is>
      </c>
      <c r="E16" s="5" t="inlineStr">
        <is>
          <t>Локальный минимум (3.36 В) — подозрительно</t>
        </is>
      </c>
      <c r="F16" s="3" t="n"/>
    </row>
    <row r="17">
      <c r="A17" s="4" t="n">
        <v>7</v>
      </c>
      <c r="B17" s="8" t="n">
        <v>0.99</v>
      </c>
      <c r="C17" s="8" t="n">
        <v>3.92</v>
      </c>
      <c r="D17" s="4" t="inlineStr">
        <is>
          <t>—</t>
        </is>
      </c>
      <c r="E17" s="5" t="inlineStr"/>
      <c r="F17" s="3" t="n"/>
    </row>
    <row r="18">
      <c r="A18" s="4" t="n">
        <v>8</v>
      </c>
      <c r="B18" s="8" t="n">
        <v>0.89</v>
      </c>
      <c r="C18" s="8" t="n">
        <v>3.92</v>
      </c>
      <c r="D18" s="4" t="inlineStr">
        <is>
          <t>—</t>
        </is>
      </c>
      <c r="E18" s="5" t="inlineStr"/>
      <c r="F18" s="3" t="n"/>
    </row>
    <row r="19">
      <c r="A19" s="4" t="n">
        <v>9</v>
      </c>
      <c r="B19" s="8" t="n">
        <v>0.79</v>
      </c>
      <c r="C19" s="8" t="n">
        <v>3.92</v>
      </c>
      <c r="D19" s="4" t="inlineStr">
        <is>
          <t>—</t>
        </is>
      </c>
      <c r="E19" s="5" t="inlineStr"/>
      <c r="F19" s="3" t="n"/>
    </row>
    <row r="20">
      <c r="A20" s="4" t="n">
        <v>10</v>
      </c>
      <c r="B20" s="8" t="n">
        <v>0.6899999999999999</v>
      </c>
      <c r="C20" s="8" t="n">
        <v>3.96</v>
      </c>
      <c r="D20" s="4" t="inlineStr">
        <is>
          <t>—</t>
        </is>
      </c>
      <c r="E20" s="5" t="inlineStr"/>
      <c r="F20" s="3" t="n"/>
    </row>
    <row r="21">
      <c r="A21" s="4" t="n">
        <v>11</v>
      </c>
      <c r="B21" s="8" t="n">
        <v>0.59</v>
      </c>
      <c r="C21" s="8" t="n">
        <v>4</v>
      </c>
      <c r="D21" s="9" t="inlineStr">
        <is>
          <t>⚠ Макс на краю</t>
        </is>
      </c>
      <c r="E21" s="5" t="inlineStr">
        <is>
          <t>Максимум Uc = 4.00 В — но это край диапазона!</t>
        </is>
      </c>
      <c r="F21" s="3" t="n"/>
    </row>
    <row r="23" ht="45" customHeight="1">
      <c r="A23" s="10" t="inlineStr">
        <is>
          <t>⚠ ПРОБЛЕМА с Таблицей 1: Uc монотонно растёт к нижней границе диапазона — резонансный пик НЕ зафиксирован. Нужно было плавнее сканировать частоты вблизи f_расч ≈ 1,11–1,27 кГц с шагом 50 Гц.</t>
        </is>
      </c>
    </row>
    <row r="25">
      <c r="A25" s="2" t="inlineStr">
        <is>
          <t>Таблица 2 — Резонансные частоты при разных ёмкостях</t>
        </is>
      </c>
      <c r="B25" s="3" t="n"/>
      <c r="C25" s="3" t="n"/>
      <c r="D25" s="3" t="n"/>
      <c r="E25" s="3" t="n"/>
      <c r="F25" s="3" t="n"/>
    </row>
    <row r="26">
      <c r="A26" s="7" t="inlineStr">
        <is>
          <t>C, нФ</t>
        </is>
      </c>
      <c r="B26" s="7" t="inlineStr">
        <is>
          <t>f_нашa, кГц</t>
        </is>
      </c>
      <c r="C26" s="7" t="inlineStr">
        <is>
          <t>f_теор, кГц
(L≈204 мГн)</t>
        </is>
      </c>
      <c r="D26" s="7" t="inlineStr">
        <is>
          <t>Откл, %</t>
        </is>
      </c>
      <c r="E26" s="7" t="inlineStr">
        <is>
          <t>L из точки, мГн</t>
        </is>
      </c>
      <c r="F26" s="7" t="inlineStr">
        <is>
          <t>Статус / Проблема</t>
        </is>
      </c>
    </row>
    <row r="27">
      <c r="A27" s="4" t="n">
        <v>1</v>
      </c>
      <c r="B27" s="8" t="n">
        <v>11.19</v>
      </c>
      <c r="C27" s="8" t="n">
        <v>11.14</v>
      </c>
      <c r="D27" s="11" t="n">
        <v>0.4</v>
      </c>
      <c r="E27" s="12" t="n">
        <v>202</v>
      </c>
      <c r="F27" s="13" t="inlineStr">
        <is>
          <t>✓ В норме</t>
        </is>
      </c>
    </row>
    <row r="28">
      <c r="A28" s="4" t="n">
        <v>3</v>
      </c>
      <c r="B28" s="8" t="n">
        <v>28</v>
      </c>
      <c r="C28" s="8" t="n">
        <v>6.43</v>
      </c>
      <c r="D28" s="11" t="n">
        <v>335.2</v>
      </c>
      <c r="E28" s="12" t="n">
        <v>11</v>
      </c>
      <c r="F28" s="14" t="inlineStr">
        <is>
          <t>✗ АНОМАЛИЯ: 28 кГц → вероятно опечатка, должно быть ~6,6 кГц</t>
        </is>
      </c>
    </row>
    <row r="29">
      <c r="A29" s="4" t="n">
        <v>10</v>
      </c>
      <c r="B29" s="8" t="n">
        <v>4.1</v>
      </c>
      <c r="C29" s="8" t="n">
        <v>3.52</v>
      </c>
      <c r="D29" s="11" t="n">
        <v>16.4</v>
      </c>
      <c r="E29" s="12" t="n">
        <v>151</v>
      </c>
      <c r="F29" s="15" t="inlineStr">
        <is>
          <t>⚠ Отклонение 16%</t>
        </is>
      </c>
    </row>
    <row r="30">
      <c r="A30" s="4" t="n">
        <v>30</v>
      </c>
      <c r="B30" s="8" t="n">
        <v>2.1</v>
      </c>
      <c r="C30" s="8" t="n">
        <v>2.03</v>
      </c>
      <c r="D30" s="11" t="n">
        <v>3.2</v>
      </c>
      <c r="E30" s="12" t="n">
        <v>191</v>
      </c>
      <c r="F30" s="13" t="inlineStr">
        <is>
          <t>✓ В норме</t>
        </is>
      </c>
    </row>
    <row r="31">
      <c r="A31" s="4" t="n">
        <v>100</v>
      </c>
      <c r="B31" s="8" t="n">
        <v>1.11</v>
      </c>
      <c r="C31" s="8" t="n">
        <v>1.11</v>
      </c>
      <c r="D31" s="11" t="n">
        <v>-0.4</v>
      </c>
      <c r="E31" s="12" t="n">
        <v>206</v>
      </c>
      <c r="F31" s="13" t="inlineStr">
        <is>
          <t>✓ В норме</t>
        </is>
      </c>
    </row>
    <row r="32">
      <c r="A32" s="4" t="n">
        <v>300</v>
      </c>
      <c r="B32" s="8" t="n">
        <v>0.6899999999999999</v>
      </c>
      <c r="C32" s="8" t="n">
        <v>0.64</v>
      </c>
      <c r="D32" s="11" t="n">
        <v>7.3</v>
      </c>
      <c r="E32" s="12" t="n">
        <v>177</v>
      </c>
      <c r="F32" s="13" t="inlineStr">
        <is>
          <t>✓ В норме</t>
        </is>
      </c>
    </row>
    <row r="34" ht="55" customHeight="1">
      <c r="A34" s="10" t="inlineStr">
        <is>
          <t>⚠ ПРОБЛЕМА с Таблицей 2: Точка C=3 нФ → f=28 кГц является аномалией. При L≈204 мГн теоретически ожидается ~6.6 кГц. Все остальные точки дают L в диапазоне 150–206 мГн и согласуются между собой. Вероятнее всего произошла опечатка (лишний ноль) или подмена данных.</t>
        </is>
      </c>
    </row>
  </sheetData>
  <mergeCells count="22">
    <mergeCell ref="E12:F12"/>
    <mergeCell ref="E14:F14"/>
    <mergeCell ref="D7:F7"/>
    <mergeCell ref="A3:F3"/>
    <mergeCell ref="E17:F17"/>
    <mergeCell ref="E20:F20"/>
    <mergeCell ref="E10:F10"/>
    <mergeCell ref="D4:F4"/>
    <mergeCell ref="E19:F19"/>
    <mergeCell ref="A23:F23"/>
    <mergeCell ref="E13:F13"/>
    <mergeCell ref="A25:F25"/>
    <mergeCell ref="D5:F5"/>
    <mergeCell ref="E15:F15"/>
    <mergeCell ref="A9:F9"/>
    <mergeCell ref="E11:F11"/>
    <mergeCell ref="A34:F34"/>
    <mergeCell ref="E16:F16"/>
    <mergeCell ref="A1:F1"/>
    <mergeCell ref="D6:F6"/>
    <mergeCell ref="E18:F18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 ht="28" customHeight="1">
      <c r="A1" s="1" t="inlineStr">
        <is>
          <t>Исправленные и расчётные данные — Лаб. работа 3.11</t>
        </is>
      </c>
    </row>
    <row r="3">
      <c r="A3" s="2" t="inlineStr">
        <is>
          <t>Параметры установки (уточнённые)</t>
        </is>
      </c>
      <c r="B3" s="3" t="n"/>
      <c r="C3" s="3" t="n"/>
      <c r="D3" s="3" t="n"/>
      <c r="E3" s="3" t="n"/>
      <c r="F3" s="3" t="n"/>
      <c r="G3" s="3" t="n"/>
    </row>
    <row r="4">
      <c r="A4" s="4" t="n">
        <v>1</v>
      </c>
      <c r="B4" s="16" t="inlineStr">
        <is>
          <t>L</t>
        </is>
      </c>
      <c r="C4" s="17" t="inlineStr">
        <is>
          <t>≈ 204 мГн</t>
        </is>
      </c>
      <c r="D4" s="3" t="n"/>
      <c r="E4" s="5" t="inlineStr">
        <is>
          <t>Определено из линейной регрессии Ω²_res vs 1/C</t>
        </is>
      </c>
      <c r="F4" s="3" t="n"/>
      <c r="G4" s="3" t="n"/>
    </row>
    <row r="5">
      <c r="A5" s="4" t="n">
        <v>2</v>
      </c>
      <c r="B5" s="16" t="inlineStr">
        <is>
          <t>C (Табл. 1)</t>
        </is>
      </c>
      <c r="C5" s="17" t="inlineStr">
        <is>
          <t>0,1 мкФ</t>
        </is>
      </c>
      <c r="D5" s="3" t="n"/>
      <c r="E5" s="5" t="inlineStr">
        <is>
          <t>Из условия задания</t>
        </is>
      </c>
      <c r="F5" s="3" t="n"/>
      <c r="G5" s="3" t="n"/>
    </row>
    <row r="6">
      <c r="A6" s="4" t="n">
        <v>3</v>
      </c>
      <c r="B6" s="16" t="inlineStr">
        <is>
          <t>f₀ (расчётная)</t>
        </is>
      </c>
      <c r="C6" s="17" t="inlineStr">
        <is>
          <t>≈ 1,11 кГц</t>
        </is>
      </c>
      <c r="D6" s="3" t="n"/>
      <c r="E6" s="5" t="inlineStr">
        <is>
          <t>f₀ = 1/(2π√LC) = 1/(2π√(0.204·100·10⁻⁶))</t>
        </is>
      </c>
      <c r="F6" s="3" t="n"/>
      <c r="G6" s="3" t="n"/>
    </row>
    <row r="7">
      <c r="A7" s="4" t="n">
        <v>4</v>
      </c>
      <c r="B7" s="16" t="inlineStr">
        <is>
          <t>Ω₀ (расчётная)</t>
        </is>
      </c>
      <c r="C7" s="17" t="inlineStr">
        <is>
          <t>≈ 6980 рад/с</t>
        </is>
      </c>
      <c r="D7" s="3" t="n"/>
      <c r="E7" s="5" t="inlineStr">
        <is>
          <t>Ω₀ = 2π·f₀</t>
        </is>
      </c>
      <c r="F7" s="3" t="n"/>
      <c r="G7" s="3" t="n"/>
    </row>
    <row r="9">
      <c r="A9" s="2" t="inlineStr">
        <is>
          <t>Таблица 1 — Наши данные (C=0,1 мкФ) с исправленными значениями Uc</t>
        </is>
      </c>
      <c r="B9" s="3" t="n"/>
      <c r="C9" s="3" t="n"/>
      <c r="D9" s="3" t="n"/>
      <c r="E9" s="3" t="n"/>
      <c r="F9" s="3" t="n"/>
      <c r="G9" s="3" t="n"/>
    </row>
    <row r="10">
      <c r="A10" s="7" t="inlineStr">
        <is>
          <t>№</t>
        </is>
      </c>
      <c r="B10" s="7" t="inlineStr">
        <is>
          <t>f, кГц
(наши)</t>
        </is>
      </c>
      <c r="C10" s="7" t="inlineStr">
        <is>
          <t>f, рад/с
(Ω=2πf)</t>
        </is>
      </c>
      <c r="D10" s="7" t="inlineStr">
        <is>
          <t>Uc, В
(наши)</t>
        </is>
      </c>
      <c r="E10" s="7" t="inlineStr">
        <is>
          <t>Uc/Uc_max</t>
        </is>
      </c>
      <c r="F10" s="7" t="inlineStr">
        <is>
          <t>Статус</t>
        </is>
      </c>
      <c r="G10" s="7" t="inlineStr">
        <is>
          <t>Примечание</t>
        </is>
      </c>
    </row>
    <row r="11">
      <c r="A11" s="4" t="n">
        <v>1</v>
      </c>
      <c r="B11" s="8" t="n">
        <v>1.59</v>
      </c>
      <c r="C11" s="12" t="n">
        <v>9990</v>
      </c>
      <c r="D11" s="8" t="n">
        <v>3.84</v>
      </c>
      <c r="E11" s="18" t="n">
        <v>0.96</v>
      </c>
      <c r="F11" s="4" t="inlineStr">
        <is>
          <t>—</t>
        </is>
      </c>
      <c r="G11" s="5" t="inlineStr"/>
    </row>
    <row r="12">
      <c r="A12" s="4" t="n">
        <v>2</v>
      </c>
      <c r="B12" s="8" t="n">
        <v>1.49</v>
      </c>
      <c r="C12" s="12" t="n">
        <v>9362</v>
      </c>
      <c r="D12" s="8" t="n">
        <v>3.79</v>
      </c>
      <c r="E12" s="18" t="n">
        <v>0.948</v>
      </c>
      <c r="F12" s="4" t="inlineStr">
        <is>
          <t>—</t>
        </is>
      </c>
      <c r="G12" s="5" t="inlineStr"/>
    </row>
    <row r="13">
      <c r="A13" s="4" t="n">
        <v>3</v>
      </c>
      <c r="B13" s="8" t="n">
        <v>1.39</v>
      </c>
      <c r="C13" s="12" t="n">
        <v>8734</v>
      </c>
      <c r="D13" s="8" t="n">
        <v>3.68</v>
      </c>
      <c r="E13" s="18" t="n">
        <v>0.92</v>
      </c>
      <c r="F13" s="4" t="inlineStr">
        <is>
          <t>—</t>
        </is>
      </c>
      <c r="G13" s="5" t="inlineStr"/>
    </row>
    <row r="14">
      <c r="A14" s="4" t="n">
        <v>4</v>
      </c>
      <c r="B14" s="8" t="n">
        <v>1.29</v>
      </c>
      <c r="C14" s="12" t="n">
        <v>8105</v>
      </c>
      <c r="D14" s="8" t="n">
        <v>3.44</v>
      </c>
      <c r="E14" s="18" t="n">
        <v>0.86</v>
      </c>
      <c r="F14" s="4" t="inlineStr">
        <is>
          <t>—</t>
        </is>
      </c>
      <c r="G14" s="5" t="inlineStr"/>
    </row>
    <row r="15">
      <c r="A15" s="4" t="n">
        <v>5</v>
      </c>
      <c r="B15" s="8" t="n">
        <v>1.19</v>
      </c>
      <c r="C15" s="12" t="n">
        <v>7477</v>
      </c>
      <c r="D15" s="8" t="n">
        <v>3.36</v>
      </c>
      <c r="E15" s="18" t="n">
        <v>0.84</v>
      </c>
      <c r="F15" s="19" t="inlineStr">
        <is>
          <t>← Локальный мин</t>
        </is>
      </c>
      <c r="G15" s="5" t="inlineStr">
        <is>
          <t>Аномалия в измерениях</t>
        </is>
      </c>
    </row>
    <row r="16">
      <c r="A16" s="4" t="n">
        <v>6</v>
      </c>
      <c r="B16" s="8" t="n">
        <v>1.09</v>
      </c>
      <c r="C16" s="12" t="n">
        <v>6849</v>
      </c>
      <c r="D16" s="8" t="n">
        <v>3.76</v>
      </c>
      <c r="E16" s="18" t="n">
        <v>0.9399999999999999</v>
      </c>
      <c r="F16" s="4" t="inlineStr">
        <is>
          <t>—</t>
        </is>
      </c>
      <c r="G16" s="5" t="inlineStr"/>
    </row>
    <row r="17">
      <c r="A17" s="4" t="n">
        <v>7</v>
      </c>
      <c r="B17" s="8" t="n">
        <v>0.99</v>
      </c>
      <c r="C17" s="12" t="n">
        <v>6220</v>
      </c>
      <c r="D17" s="8" t="n">
        <v>3.92</v>
      </c>
      <c r="E17" s="18" t="n">
        <v>0.98</v>
      </c>
      <c r="F17" s="4" t="inlineStr">
        <is>
          <t>—</t>
        </is>
      </c>
      <c r="G17" s="5" t="inlineStr"/>
    </row>
    <row r="18">
      <c r="A18" s="4" t="n">
        <v>8</v>
      </c>
      <c r="B18" s="8" t="n">
        <v>0.89</v>
      </c>
      <c r="C18" s="12" t="n">
        <v>5592</v>
      </c>
      <c r="D18" s="8" t="n">
        <v>3.92</v>
      </c>
      <c r="E18" s="18" t="n">
        <v>0.98</v>
      </c>
      <c r="F18" s="4" t="inlineStr">
        <is>
          <t>—</t>
        </is>
      </c>
      <c r="G18" s="5" t="inlineStr"/>
    </row>
    <row r="19">
      <c r="A19" s="4" t="n">
        <v>9</v>
      </c>
      <c r="B19" s="8" t="n">
        <v>0.79</v>
      </c>
      <c r="C19" s="12" t="n">
        <v>4964</v>
      </c>
      <c r="D19" s="8" t="n">
        <v>3.92</v>
      </c>
      <c r="E19" s="18" t="n">
        <v>0.98</v>
      </c>
      <c r="F19" s="4" t="inlineStr">
        <is>
          <t>—</t>
        </is>
      </c>
      <c r="G19" s="5" t="inlineStr"/>
    </row>
    <row r="20">
      <c r="A20" s="4" t="n">
        <v>10</v>
      </c>
      <c r="B20" s="8" t="n">
        <v>0.6899999999999999</v>
      </c>
      <c r="C20" s="12" t="n">
        <v>4335</v>
      </c>
      <c r="D20" s="8" t="n">
        <v>3.96</v>
      </c>
      <c r="E20" s="18" t="n">
        <v>0.99</v>
      </c>
      <c r="F20" s="4" t="inlineStr">
        <is>
          <t>—</t>
        </is>
      </c>
      <c r="G20" s="5" t="inlineStr"/>
    </row>
    <row r="21">
      <c r="A21" s="4" t="n">
        <v>11</v>
      </c>
      <c r="B21" s="8" t="n">
        <v>0.59</v>
      </c>
      <c r="C21" s="12" t="n">
        <v>3707</v>
      </c>
      <c r="D21" s="8" t="n">
        <v>4</v>
      </c>
      <c r="E21" s="18" t="n">
        <v>1</v>
      </c>
      <c r="F21" s="9" t="inlineStr">
        <is>
          <t>← Макс (край)</t>
        </is>
      </c>
      <c r="G21" s="5" t="inlineStr">
        <is>
          <t>Резонанс ниже 590 Гц или данные неполны</t>
        </is>
      </c>
    </row>
    <row r="23">
      <c r="A23" s="2" t="inlineStr">
        <is>
          <t>Таблица 2 — Исправленные резонансные частоты (без аномалии C=3 нФ)</t>
        </is>
      </c>
      <c r="B23" s="3" t="n"/>
      <c r="C23" s="3" t="n"/>
      <c r="D23" s="3" t="n"/>
      <c r="E23" s="3" t="n"/>
      <c r="F23" s="3" t="n"/>
      <c r="G23" s="3" t="n"/>
    </row>
    <row r="24">
      <c r="A24" s="7" t="inlineStr">
        <is>
          <t>C, нФ</t>
        </is>
      </c>
      <c r="B24" s="7" t="inlineStr">
        <is>
          <t>f_нашa, кГц</t>
        </is>
      </c>
      <c r="C24" s="7" t="inlineStr">
        <is>
          <t>f_теор, кГц</t>
        </is>
      </c>
      <c r="D24" s="7" t="inlineStr">
        <is>
          <t>Ω²_нашa
(рад²/с²)</t>
        </is>
      </c>
      <c r="E24" s="7" t="inlineStr">
        <is>
          <t>1/C
(Ф⁻¹)</t>
        </is>
      </c>
      <c r="F24" s="7" t="inlineStr">
        <is>
          <t>L из точки, мГн</t>
        </is>
      </c>
      <c r="G24" s="7" t="inlineStr">
        <is>
          <t>Статус</t>
        </is>
      </c>
    </row>
    <row r="25">
      <c r="A25" s="4" t="n">
        <v>1</v>
      </c>
      <c r="B25" s="8" t="n">
        <v>11.19</v>
      </c>
      <c r="C25" s="8" t="n">
        <v>11.14</v>
      </c>
      <c r="D25" s="4" t="inlineStr">
        <is>
          <t>4.943e+09</t>
        </is>
      </c>
      <c r="E25" s="4" t="inlineStr">
        <is>
          <t>1.000e+09</t>
        </is>
      </c>
      <c r="F25" s="12" t="n">
        <v>202</v>
      </c>
      <c r="G25" s="20" t="inlineStr">
        <is>
          <t>✓ В норме</t>
        </is>
      </c>
    </row>
    <row r="26">
      <c r="A26" s="9" t="n">
        <v>3</v>
      </c>
      <c r="B26" s="9" t="inlineStr">
        <is>
          <t>28,0 ← ОШИБКА</t>
        </is>
      </c>
      <c r="C26" s="8" t="n">
        <v>6.43</v>
      </c>
      <c r="D26" s="4" t="inlineStr">
        <is>
          <t>—</t>
        </is>
      </c>
      <c r="E26" s="4" t="inlineStr">
        <is>
          <t>3.333e+08</t>
        </is>
      </c>
      <c r="F26" s="4" t="inlineStr">
        <is>
          <t>—</t>
        </is>
      </c>
      <c r="G26" s="14" t="inlineStr">
        <is>
          <t>✗ Аномалия: запись 28 вместо ~6,6 кГц</t>
        </is>
      </c>
    </row>
    <row r="27">
      <c r="A27" s="4" t="n">
        <v>10</v>
      </c>
      <c r="B27" s="8" t="n">
        <v>4.1</v>
      </c>
      <c r="C27" s="8" t="n">
        <v>3.52</v>
      </c>
      <c r="D27" s="4" t="inlineStr">
        <is>
          <t>6.636e+08</t>
        </is>
      </c>
      <c r="E27" s="4" t="inlineStr">
        <is>
          <t>1.000e+08</t>
        </is>
      </c>
      <c r="F27" s="12" t="n">
        <v>151</v>
      </c>
      <c r="G27" s="20" t="inlineStr">
        <is>
          <t>✓ В норме</t>
        </is>
      </c>
    </row>
    <row r="28">
      <c r="A28" s="4" t="n">
        <v>30</v>
      </c>
      <c r="B28" s="8" t="n">
        <v>2.1</v>
      </c>
      <c r="C28" s="8" t="n">
        <v>2.03</v>
      </c>
      <c r="D28" s="4" t="inlineStr">
        <is>
          <t>1.741e+08</t>
        </is>
      </c>
      <c r="E28" s="4" t="inlineStr">
        <is>
          <t>3.333e+07</t>
        </is>
      </c>
      <c r="F28" s="12" t="n">
        <v>191</v>
      </c>
      <c r="G28" s="20" t="inlineStr">
        <is>
          <t>✓ В норме</t>
        </is>
      </c>
    </row>
    <row r="29">
      <c r="A29" s="4" t="n">
        <v>100</v>
      </c>
      <c r="B29" s="8" t="n">
        <v>1.11</v>
      </c>
      <c r="C29" s="8" t="n">
        <v>1.11</v>
      </c>
      <c r="D29" s="4" t="inlineStr">
        <is>
          <t>4.864e+07</t>
        </is>
      </c>
      <c r="E29" s="4" t="inlineStr">
        <is>
          <t>1.000e+07</t>
        </is>
      </c>
      <c r="F29" s="12" t="n">
        <v>206</v>
      </c>
      <c r="G29" s="20" t="inlineStr">
        <is>
          <t>✓ В норме</t>
        </is>
      </c>
    </row>
    <row r="30">
      <c r="A30" s="4" t="n">
        <v>300</v>
      </c>
      <c r="B30" s="8" t="n">
        <v>0.6899999999999999</v>
      </c>
      <c r="C30" s="8" t="n">
        <v>0.64</v>
      </c>
      <c r="D30" s="4" t="inlineStr">
        <is>
          <t>1.880e+07</t>
        </is>
      </c>
      <c r="E30" s="4" t="inlineStr">
        <is>
          <t>3.333e+06</t>
        </is>
      </c>
      <c r="F30" s="12" t="n">
        <v>177</v>
      </c>
      <c r="G30" s="20" t="inlineStr">
        <is>
          <t>✓ В норме</t>
        </is>
      </c>
    </row>
    <row r="31">
      <c r="A31" s="3" t="n"/>
      <c r="B31" s="3" t="n"/>
      <c r="C31" s="3" t="n"/>
      <c r="D31" s="3" t="n"/>
      <c r="E31" s="3" t="n"/>
      <c r="F31" s="3" t="n"/>
      <c r="G31" s="3" t="n"/>
    </row>
    <row r="33">
      <c r="A33" s="2" t="inlineStr">
        <is>
          <t>Линейная регрессия Ω²_res = (1/L)·(1/C) − R²/(4L²)</t>
        </is>
      </c>
      <c r="B33" s="3" t="n"/>
      <c r="C33" s="3" t="n"/>
      <c r="D33" s="3" t="n"/>
      <c r="E33" s="3" t="n"/>
      <c r="F33" s="3" t="n"/>
      <c r="G33" s="3" t="n"/>
    </row>
    <row r="34">
      <c r="A34" s="4" t="n">
        <v>1</v>
      </c>
      <c r="B34" s="16" t="inlineStr">
        <is>
          <t>Наклон (slope)</t>
        </is>
      </c>
      <c r="C34" s="3" t="n"/>
      <c r="D34" s="17" t="inlineStr">
        <is>
          <t>4.9112e+00</t>
        </is>
      </c>
      <c r="E34" s="3" t="n"/>
      <c r="F34" s="5">
        <f> 1/L → L = 1/slope</f>
        <v/>
      </c>
      <c r="G34" s="3" t="n"/>
    </row>
    <row r="35">
      <c r="A35" s="4" t="n">
        <v>2</v>
      </c>
      <c r="B35" s="16" t="inlineStr">
        <is>
          <t>Свободный член</t>
        </is>
      </c>
      <c r="C35" s="3" t="n"/>
      <c r="D35" s="17" t="inlineStr">
        <is>
          <t>4.3408e+07</t>
        </is>
      </c>
      <c r="E35" s="3" t="n"/>
      <c r="F35" s="5">
        <f> −R²/(4L²) → для оценки R</f>
        <v/>
      </c>
      <c r="G35" s="3" t="n"/>
    </row>
    <row r="36">
      <c r="A36" s="4" t="n">
        <v>3</v>
      </c>
      <c r="B36" s="16" t="inlineStr">
        <is>
          <t>L (из наклона)</t>
        </is>
      </c>
      <c r="C36" s="3" t="n"/>
      <c r="D36" s="17" t="inlineStr">
        <is>
          <t>203.6 мГн</t>
        </is>
      </c>
      <c r="E36" s="3" t="n"/>
      <c r="F36" s="5" t="inlineStr">
        <is>
          <t>Экспериментальная индуктивность</t>
        </is>
      </c>
      <c r="G36" s="3" t="n"/>
    </row>
    <row r="37">
      <c r="A37" s="4" t="n">
        <v>4</v>
      </c>
      <c r="B37" s="16" t="inlineStr">
        <is>
          <t>Данные для регрессии</t>
        </is>
      </c>
      <c r="C37" s="3" t="n"/>
      <c r="D37" s="17" t="inlineStr">
        <is>
          <t>1, 10, 30, 100, 300 нФ</t>
        </is>
      </c>
      <c r="E37" s="3" t="n"/>
      <c r="F37" s="5" t="inlineStr">
        <is>
          <t>Точка 3 нФ исключена как аномалия</t>
        </is>
      </c>
      <c r="G37" s="3" t="n"/>
    </row>
  </sheetData>
  <mergeCells count="25">
    <mergeCell ref="C6:D6"/>
    <mergeCell ref="D34:E34"/>
    <mergeCell ref="C5:D5"/>
    <mergeCell ref="F34:G34"/>
    <mergeCell ref="D36:E36"/>
    <mergeCell ref="E6:G6"/>
    <mergeCell ref="C4:D4"/>
    <mergeCell ref="A9:G9"/>
    <mergeCell ref="F36:G36"/>
    <mergeCell ref="E7:G7"/>
    <mergeCell ref="F35:G35"/>
    <mergeCell ref="A1:G1"/>
    <mergeCell ref="B34:C34"/>
    <mergeCell ref="B37:C37"/>
    <mergeCell ref="D37:E37"/>
    <mergeCell ref="F37:G37"/>
    <mergeCell ref="C7:D7"/>
    <mergeCell ref="A3:G3"/>
    <mergeCell ref="E5:G5"/>
    <mergeCell ref="B36:C36"/>
    <mergeCell ref="E4:G4"/>
    <mergeCell ref="A33:G33"/>
    <mergeCell ref="B35:C35"/>
    <mergeCell ref="D35:E35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20" customWidth="1" min="4" max="4"/>
    <col width="28" customWidth="1" min="5" max="5"/>
  </cols>
  <sheetData>
    <row r="1" ht="28" customHeight="1">
      <c r="A1" s="1" t="inlineStr">
        <is>
          <t>Сравнение наших данных с эталонным отчётом (lab3_11.docx)</t>
        </is>
      </c>
    </row>
    <row r="3" ht="36" customHeight="1">
      <c r="A3" s="21" t="inlineStr">
        <is>
          <t>Параметр</t>
        </is>
      </c>
      <c r="B3" s="21" t="inlineStr">
        <is>
          <t>Эталонный отчёт</t>
        </is>
      </c>
      <c r="C3" s="21" t="inlineStr">
        <is>
          <t>Наши данные</t>
        </is>
      </c>
      <c r="D3" s="21" t="inlineStr">
        <is>
          <t>Вывод</t>
        </is>
      </c>
    </row>
    <row r="4" ht="36" customHeight="1">
      <c r="A4" s="22" t="inlineStr">
        <is>
          <t>L (индуктивность)</t>
        </is>
      </c>
      <c r="B4" s="22" t="inlineStr">
        <is>
          <t>15 мкГн</t>
        </is>
      </c>
      <c r="C4" s="22" t="inlineStr">
        <is>
          <t>≈ 200 мГн (из регрессии)</t>
        </is>
      </c>
      <c r="D4" s="14" t="inlineStr">
        <is>
          <t>Разные установки! L отличается в ~10000 раз</t>
        </is>
      </c>
    </row>
    <row r="5" ht="36" customHeight="1">
      <c r="A5" s="22" t="inlineStr">
        <is>
          <t>C (Табл. 1)</t>
        </is>
      </c>
      <c r="B5" s="22" t="inlineStr">
        <is>
          <t>200 нФ</t>
        </is>
      </c>
      <c r="C5" s="22" t="inlineStr">
        <is>
          <t>100 нФ</t>
        </is>
      </c>
      <c r="D5" s="14" t="inlineStr">
        <is>
          <t>Разная ёмкость</t>
        </is>
      </c>
    </row>
    <row r="6" ht="36" customHeight="1">
      <c r="A6" s="22" t="inlineStr">
        <is>
          <t>f₀ (резонанс, расч.)</t>
        </is>
      </c>
      <c r="B6" s="22" t="inlineStr">
        <is>
          <t>~91 кГц (для C=200нФ, L=15мкГн)</t>
        </is>
      </c>
      <c r="C6" s="22" t="inlineStr">
        <is>
          <t>~1.11 кГц (для C=100нФ, L≈204мГн)</t>
        </is>
      </c>
      <c r="D6" s="14" t="inlineStr">
        <is>
          <t>Разные параметры → разные частоты</t>
        </is>
      </c>
    </row>
    <row r="7" ht="36" customHeight="1">
      <c r="A7" s="22" t="inlineStr">
        <is>
          <t>Диапазон частот</t>
        </is>
      </c>
      <c r="B7" s="22" t="inlineStr">
        <is>
          <t>30–120 кГц</t>
        </is>
      </c>
      <c r="C7" s="22" t="inlineStr">
        <is>
          <t>0.59–1.59 кГц</t>
        </is>
      </c>
      <c r="D7" s="23" t="inlineStr">
        <is>
          <t>У нас правильный диапазон для наших L,C</t>
        </is>
      </c>
    </row>
    <row r="8" ht="36" customHeight="1">
      <c r="A8" s="22" t="inlineStr">
        <is>
          <t>Тип измерения Uc</t>
        </is>
      </c>
      <c r="B8" s="22" t="inlineStr">
        <is>
          <t>Чёткий пик с максимумом 43 В</t>
        </is>
      </c>
      <c r="C8" s="22" t="inlineStr">
        <is>
          <t>Нет чёткого пика, Uc~3.4–4.0 В</t>
        </is>
      </c>
      <c r="D8" s="14" t="inlineStr">
        <is>
          <t>Резонансная кривая у нас не снята корректно</t>
        </is>
      </c>
    </row>
    <row r="9" ht="36" customHeight="1">
      <c r="A9" s="22" t="inlineStr">
        <is>
          <t>Q (добротность)</t>
        </is>
      </c>
      <c r="B9" s="22" t="inlineStr">
        <is>
          <t>8.66 (по ΔΩ и по формуле)</t>
        </is>
      </c>
      <c r="C9" s="22" t="inlineStr">
        <is>
          <t>Не определена (нет пика)</t>
        </is>
      </c>
      <c r="D9" s="14" t="inlineStr">
        <is>
          <t>Нужно переснять данные у резонанса</t>
        </is>
      </c>
    </row>
    <row r="10" ht="36" customHeight="1">
      <c r="A10" s="22" t="inlineStr">
        <is>
          <t>Таблица 2: точка 3 нФ</t>
        </is>
      </c>
      <c r="B10" s="22" t="inlineStr">
        <is>
          <t>Нет такого измерения</t>
        </is>
      </c>
      <c r="C10" s="22" t="inlineStr">
        <is>
          <t>28 кГц — аномалия</t>
        </is>
      </c>
      <c r="D10" s="14" t="inlineStr">
        <is>
          <t>Вероятно ошибка записи</t>
        </is>
      </c>
    </row>
    <row r="11" ht="36" customHeight="1">
      <c r="A11" s="22" t="inlineStr">
        <is>
          <t>R (активн. сопр.)</t>
        </is>
      </c>
      <c r="B11" s="22" t="inlineStr">
        <is>
          <t>R₁=1 Ом, R₂=4 Ом</t>
        </is>
      </c>
      <c r="C11" s="22" t="inlineStr">
        <is>
          <t>Не определено</t>
        </is>
      </c>
      <c r="D11" s="14" t="inlineStr">
        <is>
          <t>Нет данных для расчёта R</t>
        </is>
      </c>
    </row>
    <row r="12" ht="36" customHeight="1">
      <c r="A12" s="22" t="inlineStr">
        <is>
          <t>Метод определения L</t>
        </is>
      </c>
      <c r="B12" s="22" t="inlineStr">
        <is>
          <t>L задана (15 мкГн)</t>
        </is>
      </c>
      <c r="C12" s="22" t="inlineStr">
        <is>
          <t>Из регрессии Ω²–1/C: L≈204 мГн</t>
        </is>
      </c>
      <c r="D12" s="23" t="inlineStr">
        <is>
          <t>Наш метод соответствует п.4 задания</t>
        </is>
      </c>
    </row>
    <row r="14" ht="80" customHeight="1">
      <c r="A14" s="24" t="inlineStr">
        <is>
          <t>ГЛАВНЫЙ ВЫВОД: Эталонный отчёт и наши данные — это ДВЕ РАЗНЫЕ установки с разными L и C. Сравнивать их числа напрямую нельзя. Методика одна и та же, но параметры контура другие. Основная проблема в НАШИХ данных: (1) в Таблице 1 резонансный пик не захвачен; (2) в Таблице 2 точка C=3 нФ → 28 кГц является грубой ошибкой.</t>
        </is>
      </c>
    </row>
  </sheetData>
  <mergeCells count="2"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2026-05-06T06:06:43Z</dcterms:created>
  <dcterms:modified xmlns:dcterms="http://purl.org/dc/terms/" xmlns:xsi="http://www.w3.org/2001/XMLSchema-instance" xsi:type="dcterms:W3CDTF">2026-05-06T06:06:43Z</dcterms:modified>
</cp:coreProperties>
</file>